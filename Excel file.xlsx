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NC\Desktop\"/>
    </mc:Choice>
  </mc:AlternateContent>
  <xr:revisionPtr revIDLastSave="0" documentId="13_ncr:1_{0F4294B7-6E87-4137-B408-19DC40F1FE14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AOV by channel line chart" sheetId="3" r:id="rId1"/>
    <sheet name="AOV by channel" sheetId="2" r:id="rId2"/>
    <sheet name="Revenue by channel bar chart" sheetId="5" r:id="rId3"/>
    <sheet name="Revenue by channel" sheetId="4" r:id="rId4"/>
    <sheet name="Customers purchase behavior" sheetId="6" r:id="rId5"/>
    <sheet name="Cohort visualization" sheetId="8" r:id="rId6"/>
    <sheet name="Cohort analysis" sheetId="7" r:id="rId7"/>
  </sheets>
  <definedNames>
    <definedName name="ExternalData_1" localSheetId="1" hidden="1">'AOV by channel'!$A$1:$C$13</definedName>
    <definedName name="ExternalData_1" localSheetId="6" hidden="1">'Cohort analysis'!$A$1:$E$22</definedName>
    <definedName name="ExternalData_1" localSheetId="4" hidden="1">'Customers purchase behavior'!$A$1:$D$6</definedName>
    <definedName name="ExternalData_1" localSheetId="3" hidden="1">'Revenue by channel'!$A$1:$C$13</definedName>
  </definedNames>
  <calcPr calcId="0"/>
  <pivotCaches>
    <pivotCache cacheId="0" r:id="rId8"/>
    <pivotCache cacheId="1" r:id="rId9"/>
    <pivotCache cacheId="6" r:id="rId10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B9E98-50F5-45A6-A133-7D4BFD579970}" keepAlive="1" name="Query - channel" description="Connection to the 'channel' query in the workbook." type="5" refreshedVersion="8" background="1" saveData="1">
    <dbPr connection="Provider=Microsoft.Mashup.OleDb.1;Data Source=$Workbook$;Location=channel;Extended Properties=&quot;&quot;" command="SELECT * FROM [channel]"/>
  </connection>
  <connection id="2" xr16:uid="{83B7D126-7220-4C13-83D5-2CA28A8AE2FB}" keepAlive="1" name="Query - cohort" description="Connection to the 'cohort' query in the workbook." type="5" refreshedVersion="8" background="1" saveData="1">
    <dbPr connection="Provider=Microsoft.Mashup.OleDb.1;Data Source=$Workbook$;Location=cohort;Extended Properties=&quot;&quot;" command="SELECT * FROM [cohort]"/>
  </connection>
  <connection id="3" xr16:uid="{DC2DB03E-4B89-4991-A451-D85C0F66635E}" keepAlive="1" name="Query - customerrfm" description="Connection to the 'customerrfm' query in the workbook." type="5" refreshedVersion="8" background="1" saveData="1">
    <dbPr connection="Provider=Microsoft.Mashup.OleDb.1;Data Source=$Workbook$;Location=customerrfm;Extended Properties=&quot;&quot;" command="SELECT * FROM [customerrfm]"/>
  </connection>
  <connection id="4" xr16:uid="{CFCEACFB-BF98-4471-8FB8-B6BBDC7E2720}" keepAlive="1" name="Query - Revenue by channel" description="Connection to the 'Revenue by channel' query in the workbook." type="5" refreshedVersion="8" background="1" saveData="1">
    <dbPr connection="Provider=Microsoft.Mashup.OleDb.1;Data Source=$Workbook$;Location=&quot;Revenue by channel&quot;;Extended Properties=&quot;&quot;" command="SELECT * FROM [Revenue by channel]"/>
  </connection>
</connections>
</file>

<file path=xl/sharedStrings.xml><?xml version="1.0" encoding="utf-8"?>
<sst xmlns="http://schemas.openxmlformats.org/spreadsheetml/2006/main" count="57" uniqueCount="26">
  <si>
    <t>Generation</t>
  </si>
  <si>
    <t>Total_spending</t>
  </si>
  <si>
    <t>Orders</t>
  </si>
  <si>
    <t>AOV</t>
  </si>
  <si>
    <t>Boomers</t>
  </si>
  <si>
    <t>Gen X</t>
  </si>
  <si>
    <t>Millennials</t>
  </si>
  <si>
    <t>Unknown</t>
  </si>
  <si>
    <t>Gen Z</t>
  </si>
  <si>
    <t>Year</t>
  </si>
  <si>
    <t>Channel</t>
  </si>
  <si>
    <t>Online</t>
  </si>
  <si>
    <t>Offline</t>
  </si>
  <si>
    <t>Sum of AOV</t>
  </si>
  <si>
    <t>Row Labels</t>
  </si>
  <si>
    <t>Column Labels</t>
  </si>
  <si>
    <t>Revenue</t>
  </si>
  <si>
    <t>Sum of Revenue</t>
  </si>
  <si>
    <t>Days since last purchase</t>
  </si>
  <si>
    <t>CohortYear</t>
  </si>
  <si>
    <t>YearsSinceStart</t>
  </si>
  <si>
    <t>ActiveCustomers</t>
  </si>
  <si>
    <t>CohortSize</t>
  </si>
  <si>
    <t>RetentionRate_%</t>
  </si>
  <si>
    <t>Retention Rate%</t>
  </si>
  <si>
    <t>Years since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</si>
</sst>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overview.xlsx]AOV by channel line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AOV by channel year</a:t>
            </a:r>
            <a:r>
              <a:rPr lang="en-US" baseline="0"/>
              <a:t> over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'AOV by channel line chart'!$B$3:$B$4</c:f>
              <c:strCache>
                <c:ptCount val="1"/>
                <c:pt idx="0">
                  <c:v>Offline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'AOV by channel line chart'!$A$5:$A$10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'AOV by channel line chart'!$B$5:$B$10</c:f>
              <c:numCache>
                <c:formatCode>General</c:formatCode>
                <c:ptCount val="6"/>
                <c:pt idx="0">
                  <c:v>2418.3665000000001</c:v>
                </c:pt>
                <c:pt idx="1">
                  <c:v>2288.6664000000001</c:v>
                </c:pt>
                <c:pt idx="2">
                  <c:v>2162.4308000000001</c:v>
                </c:pt>
                <c:pt idx="3">
                  <c:v>2028.5271</c:v>
                </c:pt>
                <c:pt idx="4">
                  <c:v>2027.1270999999999</c:v>
                </c:pt>
                <c:pt idx="5">
                  <c:v>2093.0857000000001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B-4123-8C67-D52C2B254DBA}"/>
            </c:ext>
          </c:extLst>
        </c:ser>
        <c:ser>
          <c:idx val="1"/>
          <c:order val="1"/>
          <c:tx>
            <c:strRef>
              <c:f>'AOV by channel line chart'!$C$3:$C$4</c:f>
              <c:strCache>
                <c:ptCount val="1"/>
                <c:pt idx="0">
                  <c:v>Online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'AOV by channel line chart'!$A$5:$A$10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'AOV by channel line chart'!$C$5:$C$10</c:f>
              <c:numCache>
                <c:formatCode>General</c:formatCode>
                <c:ptCount val="6"/>
                <c:pt idx="0">
                  <c:v>2456.5459000000001</c:v>
                </c:pt>
                <c:pt idx="1">
                  <c:v>2156.0518999999999</c:v>
                </c:pt>
                <c:pt idx="2">
                  <c:v>2074.1262000000002</c:v>
                </c:pt>
                <c:pt idx="3">
                  <c:v>1948.4025999999999</c:v>
                </c:pt>
                <c:pt idx="4">
                  <c:v>1932.7272</c:v>
                </c:pt>
                <c:pt idx="5">
                  <c:v>2070.8521000000001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B-4123-8C67-D52C2B254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97823"/>
        <c:axId val="146695423"/>
      </c:lineChart>
      <c:catAx>
        <c:axId val="14669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5423"/>
        <c:crosses val="autoZero"/>
        <c:auto val="1"/>
        <c:lblAlgn val="ctr"/>
        <c:lblOffset val="100"/>
        <c:noMultiLvlLbl val="0"/>
      </c:catAx>
      <c:valAx>
        <c:axId val="1466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overview.xlsx]Revenue by channel bar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Revenue contribution by Channel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'Revenue by channel bar chart'!$B$3:$B$4</c:f>
              <c:strCache>
                <c:ptCount val="1"/>
                <c:pt idx="0">
                  <c:v>Offline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channel bar chart'!$A$5:$A$10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'Revenue by channel bar chart'!$B$5:$B$10</c:f>
              <c:numCache>
                <c:formatCode>0.00%</c:formatCode>
                <c:ptCount val="6"/>
                <c:pt idx="0">
                  <c:v>0.83167545574796087</c:v>
                </c:pt>
                <c:pt idx="1">
                  <c:v>0.81290682708989692</c:v>
                </c:pt>
                <c:pt idx="2">
                  <c:v>0.79808467641341541</c:v>
                </c:pt>
                <c:pt idx="3">
                  <c:v>0.78600449786463289</c:v>
                </c:pt>
                <c:pt idx="4">
                  <c:v>0.77729609210763229</c:v>
                </c:pt>
                <c:pt idx="5">
                  <c:v>0.72502572144357846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4-4288-8506-CAA5A37DC83E}"/>
            </c:ext>
          </c:extLst>
        </c:ser>
        <c:ser>
          <c:idx val="1"/>
          <c:order val="1"/>
          <c:tx>
            <c:strRef>
              <c:f>'Revenue by channel bar chart'!$C$3:$C$4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channel bar chart'!$A$5:$A$10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strCache>
            </c:strRef>
          </c:cat>
          <c:val>
            <c:numRef>
              <c:f>'Revenue by channel bar chart'!$C$5:$C$10</c:f>
              <c:numCache>
                <c:formatCode>0.00%</c:formatCode>
                <c:ptCount val="6"/>
                <c:pt idx="0">
                  <c:v>0.16832454425203908</c:v>
                </c:pt>
                <c:pt idx="1">
                  <c:v>0.18709317291010313</c:v>
                </c:pt>
                <c:pt idx="2">
                  <c:v>0.20191532358658454</c:v>
                </c:pt>
                <c:pt idx="3">
                  <c:v>0.21399550213536703</c:v>
                </c:pt>
                <c:pt idx="4">
                  <c:v>0.22270390789236763</c:v>
                </c:pt>
                <c:pt idx="5">
                  <c:v>0.27497427855642159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4-4288-8506-CAA5A37DC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9831055"/>
        <c:axId val="969831535"/>
      </c:barChart>
      <c:catAx>
        <c:axId val="96983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831535"/>
        <c:crosses val="autoZero"/>
        <c:auto val="1"/>
        <c:lblAlgn val="ctr"/>
        <c:lblOffset val="100"/>
        <c:noMultiLvlLbl val="0"/>
      </c:catAx>
      <c:valAx>
        <c:axId val="9698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%Total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83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160020</xdr:rowOff>
    </xdr:from>
    <xdr:to>
      <xdr:col>10</xdr:col>
      <xdr:colOff>114300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83594A-AE09-505F-DD12-EFC747DB5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807720</xdr:colOff>
      <xdr:row>1</xdr:row>
      <xdr:rowOff>137160</xdr:rowOff>
    </xdr:from>
    <xdr:to>
      <xdr:col>14</xdr:col>
      <xdr:colOff>525780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6E8FE-CC2F-9188-4FFE-9ECD09EFF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NC" refreshedDate="46245.57756203704" createdVersion="8" refreshedVersion="8" minRefreshableVersion="3" recordCount="12" xr:uid="{4D18C9C4-ACBF-4F12-9E5B-084F60B3CC0F}">
  <cacheSource type="worksheet">
    <worksheetSource name="channel"/>
  </cacheSource>
  <cacheFields count="3">
    <cacheField name="Year" numFmtId="0">
      <sharedItems containsSemiMixedTypes="0" containsString="0" containsNumber="1" containsInteger="1" minValue="2016" maxValue="2021" count="6">
        <n v="2016"/>
        <n v="2017"/>
        <n v="2018"/>
        <n v="2019"/>
        <n v="2020"/>
        <n v="2021"/>
      </sharedItems>
    </cacheField>
    <cacheField name="Channel" numFmtId="0">
      <sharedItems count="2">
        <s v="Online"/>
        <s v="Offline"/>
      </sharedItems>
    </cacheField>
    <cacheField name="AOV" numFmtId="0">
      <sharedItems containsSemiMixedTypes="0" containsString="0" containsNumber="1" minValue="1932.7272" maxValue="2456.5459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NC" refreshedDate="46245.586951967591" createdVersion="8" refreshedVersion="8" minRefreshableVersion="3" recordCount="12" xr:uid="{9E9EC03E-C66F-49EF-81E3-CEFECD2C253C}">
  <cacheSource type="worksheet">
    <worksheetSource name="Revenue_by_channel"/>
  </cacheSource>
  <cacheFields count="3">
    <cacheField name="Year" numFmtId="0">
      <sharedItems containsSemiMixedTypes="0" containsString="0" containsNumber="1" containsInteger="1" minValue="2016" maxValue="2021" count="6">
        <n v="2016"/>
        <n v="2017"/>
        <n v="2018"/>
        <n v="2019"/>
        <n v="2020"/>
        <n v="2021"/>
      </sharedItems>
    </cacheField>
    <cacheField name="Channel" numFmtId="0">
      <sharedItems count="2">
        <s v="Online"/>
        <s v="Offline"/>
      </sharedItems>
    </cacheField>
    <cacheField name="Revenue" numFmtId="0">
      <sharedItems containsSemiMixedTypes="0" containsString="0" containsNumber="1" minValue="285777.59999999998" maxValue="14355886.77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NC" refreshedDate="46251.592423495371" createdVersion="8" refreshedVersion="8" minRefreshableVersion="3" recordCount="21" xr:uid="{5C6ACD72-3639-42D1-A903-789BE28958F3}">
  <cacheSource type="worksheet">
    <worksheetSource name="cohort"/>
  </cacheSource>
  <cacheFields count="5">
    <cacheField name="CohortYear" numFmtId="0">
      <sharedItems containsSemiMixedTypes="0" containsString="0" containsNumber="1" containsInteger="1" minValue="2016" maxValue="2021" count="6">
        <n v="2016"/>
        <n v="2017"/>
        <n v="2018"/>
        <n v="2019"/>
        <n v="2020"/>
        <n v="2021"/>
      </sharedItems>
    </cacheField>
    <cacheField name="YearsSinceStart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ActiveCustomers" numFmtId="0">
      <sharedItems containsSemiMixedTypes="0" containsString="0" containsNumber="1" containsInteger="1" minValue="34" maxValue="3104"/>
    </cacheField>
    <cacheField name="CohortSize" numFmtId="0">
      <sharedItems containsSemiMixedTypes="0" containsString="0" containsNumber="1" containsInteger="1" minValue="67" maxValue="3104"/>
    </cacheField>
    <cacheField name="RetentionRate_%" numFmtId="0">
      <sharedItems containsSemiMixedTypes="0" containsString="0" containsNumber="1" minValue="2.8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456.5459000000001"/>
  </r>
  <r>
    <x v="0"/>
    <x v="1"/>
    <n v="2418.3665000000001"/>
  </r>
  <r>
    <x v="1"/>
    <x v="1"/>
    <n v="2288.6664000000001"/>
  </r>
  <r>
    <x v="1"/>
    <x v="0"/>
    <n v="2156.0518999999999"/>
  </r>
  <r>
    <x v="2"/>
    <x v="1"/>
    <n v="2162.4308000000001"/>
  </r>
  <r>
    <x v="2"/>
    <x v="0"/>
    <n v="2074.1262000000002"/>
  </r>
  <r>
    <x v="3"/>
    <x v="0"/>
    <n v="1948.4025999999999"/>
  </r>
  <r>
    <x v="3"/>
    <x v="1"/>
    <n v="2028.5271"/>
  </r>
  <r>
    <x v="4"/>
    <x v="1"/>
    <n v="2027.1270999999999"/>
  </r>
  <r>
    <x v="4"/>
    <x v="0"/>
    <n v="1932.7272"/>
  </r>
  <r>
    <x v="5"/>
    <x v="0"/>
    <n v="2070.8521000000001"/>
  </r>
  <r>
    <x v="5"/>
    <x v="1"/>
    <n v="2093.0857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169315.8600000001"/>
  </r>
  <r>
    <x v="0"/>
    <x v="1"/>
    <n v="5777477.7000000002"/>
  </r>
  <r>
    <x v="1"/>
    <x v="1"/>
    <n v="6032924.8300000001"/>
  </r>
  <r>
    <x v="1"/>
    <x v="0"/>
    <n v="1388497.44"/>
  </r>
  <r>
    <x v="2"/>
    <x v="1"/>
    <n v="10206673.529999999"/>
  </r>
  <r>
    <x v="2"/>
    <x v="0"/>
    <n v="2582287.13"/>
  </r>
  <r>
    <x v="3"/>
    <x v="0"/>
    <n v="3908495.7"/>
  </r>
  <r>
    <x v="3"/>
    <x v="1"/>
    <n v="14355886.779999999"/>
  </r>
  <r>
    <x v="4"/>
    <x v="1"/>
    <n v="7224681.2400000002"/>
  </r>
  <r>
    <x v="4"/>
    <x v="0"/>
    <n v="2069950.9"/>
  </r>
  <r>
    <x v="5"/>
    <x v="1"/>
    <n v="753510.88"/>
  </r>
  <r>
    <x v="5"/>
    <x v="0"/>
    <n v="285777.5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2561"/>
    <n v="2561"/>
    <n v="100"/>
  </r>
  <r>
    <x v="0"/>
    <x v="1"/>
    <n v="531"/>
    <n v="2561"/>
    <n v="20.73"/>
  </r>
  <r>
    <x v="0"/>
    <x v="2"/>
    <n v="839"/>
    <n v="2561"/>
    <n v="32.76"/>
  </r>
  <r>
    <x v="0"/>
    <x v="3"/>
    <n v="1169"/>
    <n v="2561"/>
    <n v="45.65"/>
  </r>
  <r>
    <x v="0"/>
    <x v="4"/>
    <n v="711"/>
    <n v="2561"/>
    <n v="27.76"/>
  </r>
  <r>
    <x v="0"/>
    <x v="5"/>
    <n v="96"/>
    <n v="2561"/>
    <n v="3.75"/>
  </r>
  <r>
    <x v="1"/>
    <x v="0"/>
    <n v="2376"/>
    <n v="2376"/>
    <n v="100"/>
  </r>
  <r>
    <x v="1"/>
    <x v="1"/>
    <n v="822"/>
    <n v="2376"/>
    <n v="34.6"/>
  </r>
  <r>
    <x v="1"/>
    <x v="2"/>
    <n v="1105"/>
    <n v="2376"/>
    <n v="46.51"/>
  </r>
  <r>
    <x v="1"/>
    <x v="3"/>
    <n v="643"/>
    <n v="2376"/>
    <n v="27.06"/>
  </r>
  <r>
    <x v="1"/>
    <x v="4"/>
    <n v="98"/>
    <n v="2376"/>
    <n v="4.12"/>
  </r>
  <r>
    <x v="2"/>
    <x v="0"/>
    <n v="3104"/>
    <n v="3104"/>
    <n v="100"/>
  </r>
  <r>
    <x v="2"/>
    <x v="1"/>
    <n v="1391"/>
    <n v="3104"/>
    <n v="44.81"/>
  </r>
  <r>
    <x v="2"/>
    <x v="2"/>
    <n v="847"/>
    <n v="3104"/>
    <n v="27.29"/>
  </r>
  <r>
    <x v="2"/>
    <x v="3"/>
    <n v="113"/>
    <n v="3104"/>
    <n v="3.64"/>
  </r>
  <r>
    <x v="3"/>
    <x v="0"/>
    <n v="2832"/>
    <n v="2832"/>
    <n v="100"/>
  </r>
  <r>
    <x v="3"/>
    <x v="1"/>
    <n v="720"/>
    <n v="2832"/>
    <n v="25.42"/>
  </r>
  <r>
    <x v="3"/>
    <x v="2"/>
    <n v="81"/>
    <n v="2832"/>
    <n v="2.86"/>
  </r>
  <r>
    <x v="4"/>
    <x v="0"/>
    <n v="947"/>
    <n v="947"/>
    <n v="100"/>
  </r>
  <r>
    <x v="4"/>
    <x v="1"/>
    <n v="34"/>
    <n v="947"/>
    <n v="3.59"/>
  </r>
  <r>
    <x v="5"/>
    <x v="0"/>
    <n v="67"/>
    <n v="67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CF3AB-0A86-4926-A593-C80D3305C41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C10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Sum of AOV" fld="2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1170E-827E-499D-8E35-3361C08CF525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C10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Sum of Revenue" fld="2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8DB0E-9E43-48AB-855C-B5785D6C3B99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" colHeaderCaption="Years since start">
  <location ref="A3:G10" firstHeaderRow="1" firstDataRow="2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Retention Rate%" fld="4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6EAD15-B383-49EA-961C-405EE3B8D6EE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4"/>
      <queryTableField id="2" name="Channel" tableColumnId="2"/>
      <queryTableField id="3" name="AOV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CF85D0E-FA3C-4E5A-999F-783137629AF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4"/>
      <queryTableField id="2" name="Channel" tableColumnId="2"/>
      <queryTableField id="3" name="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4DC0686-D310-4A90-AC8F-E419DE639332}" autoFormatId="16" applyNumberFormats="0" applyBorderFormats="0" applyFontFormats="0" applyPatternFormats="0" applyAlignmentFormats="0" applyWidthHeightFormats="0">
  <queryTableRefresh nextId="5">
    <queryTableFields count="4">
      <queryTableField id="1" name="Generation" tableColumnId="5"/>
      <queryTableField id="2" name="Total_spending" tableColumnId="2"/>
      <queryTableField id="3" name="Orders" tableColumnId="3"/>
      <queryTableField id="4" name="days_since_last_purchas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029C6B2-CD39-4C8D-A7B8-BEEC2CEE2ACB}" autoFormatId="16" applyNumberFormats="0" applyBorderFormats="0" applyFontFormats="0" applyPatternFormats="0" applyAlignmentFormats="0" applyWidthHeightFormats="0">
  <queryTableRefresh nextId="6">
    <queryTableFields count="5">
      <queryTableField id="1" name="CohortYear" tableColumnId="6"/>
      <queryTableField id="2" name="YearsSinceStart" tableColumnId="2"/>
      <queryTableField id="3" name="ActiveCustomers" tableColumnId="3"/>
      <queryTableField id="4" name="CohortSize" tableColumnId="4"/>
      <queryTableField id="5" name="RetentionRate_%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C345D-5863-4C0F-952A-97130ABEDFB0}" name="channel" displayName="channel" ref="A1:C13" tableType="queryTable" totalsRowShown="0">
  <autoFilter ref="A1:C13" xr:uid="{DF0C345D-5863-4C0F-952A-97130ABEDFB0}"/>
  <tableColumns count="3">
    <tableColumn id="4" xr3:uid="{34923883-2D7C-46EA-B294-B7DD97D95A3E}" uniqueName="4" name="Year" queryTableFieldId="1" dataDxfId="14"/>
    <tableColumn id="2" xr3:uid="{F5AA7AAE-FB13-43C8-BB23-A0216D0A56C9}" uniqueName="2" name="Channel" queryTableFieldId="2" dataDxfId="13"/>
    <tableColumn id="3" xr3:uid="{E84CF046-B4D2-42A8-B3DE-43EA5DFD1966}" uniqueName="3" name="AOV" queryTableFieldId="3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BD083-BD16-4619-8AD1-1746991582BA}" name="Revenue_by_channel" displayName="Revenue_by_channel" ref="A1:C13" tableType="queryTable" totalsRowShown="0">
  <autoFilter ref="A1:C13" xr:uid="{E2FBD083-BD16-4619-8AD1-1746991582BA}"/>
  <tableColumns count="3">
    <tableColumn id="4" xr3:uid="{65929052-565F-4E58-8D3C-EBAFB60D7A7F}" uniqueName="4" name="Year" queryTableFieldId="1" dataDxfId="11"/>
    <tableColumn id="2" xr3:uid="{7D0EB027-DB87-4A59-B7C6-231B4B742C32}" uniqueName="2" name="Channel" queryTableFieldId="2" dataDxfId="10"/>
    <tableColumn id="3" xr3:uid="{997031C5-2464-48C8-B3D7-2DDE59F4CF1E}" uniqueName="3" name="Revenue" queryTableFieldId="3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DB3FEC-1897-45D4-8DF7-1B3250911BC0}" name="customerrfm" displayName="customerrfm" ref="A1:D6" tableType="queryTable" totalsRowShown="0">
  <autoFilter ref="A1:D6" xr:uid="{3DDB3FEC-1897-45D4-8DF7-1B3250911BC0}"/>
  <tableColumns count="4">
    <tableColumn id="5" xr3:uid="{9BFA8BC8-D18D-441A-9E59-7C4F65DBC38C}" uniqueName="5" name="Generation" queryTableFieldId="1" dataDxfId="8"/>
    <tableColumn id="2" xr3:uid="{31A23D3E-8903-431D-9828-F8E9F839AA00}" uniqueName="2" name="Total_spending" queryTableFieldId="2" dataDxfId="7"/>
    <tableColumn id="3" xr3:uid="{BDD15C97-07EC-4999-B3C4-918DE09A0370}" uniqueName="3" name="Orders" queryTableFieldId="3" dataDxfId="6"/>
    <tableColumn id="4" xr3:uid="{D28F1405-4D96-4BAE-8B7F-060C38D04220}" uniqueName="4" name="Days since last purchase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2479C0-86FA-4460-8151-AD735ED1CB05}" name="cohort" displayName="cohort" ref="A1:E22" tableType="queryTable" totalsRowShown="0">
  <autoFilter ref="A1:E22" xr:uid="{262479C0-86FA-4460-8151-AD735ED1CB05}"/>
  <tableColumns count="5">
    <tableColumn id="6" xr3:uid="{3CD0C838-5A0A-412D-A430-3CEF04C45211}" uniqueName="6" name="CohortYear" queryTableFieldId="1" dataDxfId="4"/>
    <tableColumn id="2" xr3:uid="{862D4476-31E6-4A8A-9CDD-FB8A5657ECF3}" uniqueName="2" name="YearsSinceStart" queryTableFieldId="2" dataDxfId="3"/>
    <tableColumn id="3" xr3:uid="{BDACBBE2-F82B-4424-ABC8-AF17200FD278}" uniqueName="3" name="ActiveCustomers" queryTableFieldId="3" dataDxfId="2"/>
    <tableColumn id="4" xr3:uid="{BF42DBF6-B543-4171-B1C5-05EABA9CF192}" uniqueName="4" name="CohortSize" queryTableFieldId="4" dataDxfId="1"/>
    <tableColumn id="5" xr3:uid="{44294590-3C0D-48EA-8F2C-A4DFC1B5C5D6}" uniqueName="5" name="RetentionRate_%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9B05-25B5-4D0B-8FC2-FA9D6DDFD0AC}">
  <dimension ref="A3:C10"/>
  <sheetViews>
    <sheetView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0" bestFit="1" customWidth="1"/>
    <col min="4" max="4" width="11" bestFit="1" customWidth="1"/>
  </cols>
  <sheetData>
    <row r="3" spans="1:3" x14ac:dyDescent="0.3">
      <c r="A3" s="2" t="s">
        <v>13</v>
      </c>
      <c r="B3" s="2" t="s">
        <v>15</v>
      </c>
    </row>
    <row r="4" spans="1:3" x14ac:dyDescent="0.3">
      <c r="A4" s="2" t="s">
        <v>14</v>
      </c>
      <c r="B4" t="s">
        <v>12</v>
      </c>
      <c r="C4" t="s">
        <v>11</v>
      </c>
    </row>
    <row r="5" spans="1:3" x14ac:dyDescent="0.3">
      <c r="A5" s="3">
        <v>2016</v>
      </c>
      <c r="B5" s="1">
        <v>2418.3665000000001</v>
      </c>
      <c r="C5" s="1">
        <v>2456.5459000000001</v>
      </c>
    </row>
    <row r="6" spans="1:3" x14ac:dyDescent="0.3">
      <c r="A6" s="3">
        <v>2017</v>
      </c>
      <c r="B6" s="1">
        <v>2288.6664000000001</v>
      </c>
      <c r="C6" s="1">
        <v>2156.0518999999999</v>
      </c>
    </row>
    <row r="7" spans="1:3" x14ac:dyDescent="0.3">
      <c r="A7" s="3">
        <v>2018</v>
      </c>
      <c r="B7" s="1">
        <v>2162.4308000000001</v>
      </c>
      <c r="C7" s="1">
        <v>2074.1262000000002</v>
      </c>
    </row>
    <row r="8" spans="1:3" x14ac:dyDescent="0.3">
      <c r="A8" s="3">
        <v>2019</v>
      </c>
      <c r="B8" s="1">
        <v>2028.5271</v>
      </c>
      <c r="C8" s="1">
        <v>1948.4025999999999</v>
      </c>
    </row>
    <row r="9" spans="1:3" x14ac:dyDescent="0.3">
      <c r="A9" s="3">
        <v>2020</v>
      </c>
      <c r="B9" s="1">
        <v>2027.1270999999999</v>
      </c>
      <c r="C9" s="1">
        <v>1932.7272</v>
      </c>
    </row>
    <row r="10" spans="1:3" x14ac:dyDescent="0.3">
      <c r="A10" s="3">
        <v>2021</v>
      </c>
      <c r="B10" s="1">
        <v>2093.0857000000001</v>
      </c>
      <c r="C10" s="1">
        <v>2070.8521000000001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2E9C-6E45-4AFC-AF52-1FDF7EA696AE}">
  <dimension ref="A1:C13"/>
  <sheetViews>
    <sheetView workbookViewId="0">
      <selection sqref="A1:C13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0" bestFit="1" customWidth="1"/>
  </cols>
  <sheetData>
    <row r="1" spans="1:3" x14ac:dyDescent="0.3">
      <c r="A1" s="1" t="s">
        <v>9</v>
      </c>
      <c r="B1" s="1" t="s">
        <v>10</v>
      </c>
      <c r="C1" s="1" t="s">
        <v>3</v>
      </c>
    </row>
    <row r="2" spans="1:3" x14ac:dyDescent="0.3">
      <c r="A2" s="1">
        <v>2016</v>
      </c>
      <c r="B2" s="1" t="s">
        <v>11</v>
      </c>
      <c r="C2" s="1">
        <v>2456.5459000000001</v>
      </c>
    </row>
    <row r="3" spans="1:3" x14ac:dyDescent="0.3">
      <c r="A3" s="1">
        <v>2016</v>
      </c>
      <c r="B3" s="1" t="s">
        <v>12</v>
      </c>
      <c r="C3" s="1">
        <v>2418.3665000000001</v>
      </c>
    </row>
    <row r="4" spans="1:3" x14ac:dyDescent="0.3">
      <c r="A4" s="1">
        <v>2017</v>
      </c>
      <c r="B4" s="1" t="s">
        <v>12</v>
      </c>
      <c r="C4" s="1">
        <v>2288.6664000000001</v>
      </c>
    </row>
    <row r="5" spans="1:3" x14ac:dyDescent="0.3">
      <c r="A5" s="1">
        <v>2017</v>
      </c>
      <c r="B5" s="1" t="s">
        <v>11</v>
      </c>
      <c r="C5" s="1">
        <v>2156.0518999999999</v>
      </c>
    </row>
    <row r="6" spans="1:3" x14ac:dyDescent="0.3">
      <c r="A6" s="1">
        <v>2018</v>
      </c>
      <c r="B6" s="1" t="s">
        <v>12</v>
      </c>
      <c r="C6" s="1">
        <v>2162.4308000000001</v>
      </c>
    </row>
    <row r="7" spans="1:3" x14ac:dyDescent="0.3">
      <c r="A7" s="1">
        <v>2018</v>
      </c>
      <c r="B7" s="1" t="s">
        <v>11</v>
      </c>
      <c r="C7" s="1">
        <v>2074.1262000000002</v>
      </c>
    </row>
    <row r="8" spans="1:3" x14ac:dyDescent="0.3">
      <c r="A8" s="1">
        <v>2019</v>
      </c>
      <c r="B8" s="1" t="s">
        <v>11</v>
      </c>
      <c r="C8" s="1">
        <v>1948.4025999999999</v>
      </c>
    </row>
    <row r="9" spans="1:3" x14ac:dyDescent="0.3">
      <c r="A9" s="1">
        <v>2019</v>
      </c>
      <c r="B9" s="1" t="s">
        <v>12</v>
      </c>
      <c r="C9" s="1">
        <v>2028.5271</v>
      </c>
    </row>
    <row r="10" spans="1:3" x14ac:dyDescent="0.3">
      <c r="A10" s="1">
        <v>2020</v>
      </c>
      <c r="B10" s="1" t="s">
        <v>12</v>
      </c>
      <c r="C10" s="1">
        <v>2027.1270999999999</v>
      </c>
    </row>
    <row r="11" spans="1:3" x14ac:dyDescent="0.3">
      <c r="A11" s="1">
        <v>2020</v>
      </c>
      <c r="B11" s="1" t="s">
        <v>11</v>
      </c>
      <c r="C11" s="1">
        <v>1932.7272</v>
      </c>
    </row>
    <row r="12" spans="1:3" x14ac:dyDescent="0.3">
      <c r="A12" s="1">
        <v>2021</v>
      </c>
      <c r="B12" s="1" t="s">
        <v>11</v>
      </c>
      <c r="C12" s="1">
        <v>2070.8521000000001</v>
      </c>
    </row>
    <row r="13" spans="1:3" x14ac:dyDescent="0.3">
      <c r="A13" s="1">
        <v>2021</v>
      </c>
      <c r="B13" s="1" t="s">
        <v>12</v>
      </c>
      <c r="C13" s="1">
        <v>2093.0857000000001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EF80-4AC0-45E4-91C8-CF0CFC1DAD71}">
  <dimension ref="A3:C10"/>
  <sheetViews>
    <sheetView workbookViewId="0">
      <selection activeCell="Q19" sqref="Q19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7" bestFit="1" customWidth="1"/>
    <col min="4" max="4" width="12" bestFit="1" customWidth="1"/>
  </cols>
  <sheetData>
    <row r="3" spans="1:3" x14ac:dyDescent="0.3">
      <c r="A3" s="2" t="s">
        <v>17</v>
      </c>
      <c r="B3" s="2" t="s">
        <v>15</v>
      </c>
    </row>
    <row r="4" spans="1:3" x14ac:dyDescent="0.3">
      <c r="A4" s="2" t="s">
        <v>14</v>
      </c>
      <c r="B4" t="s">
        <v>12</v>
      </c>
      <c r="C4" t="s">
        <v>11</v>
      </c>
    </row>
    <row r="5" spans="1:3" x14ac:dyDescent="0.3">
      <c r="A5" s="3">
        <v>2016</v>
      </c>
      <c r="B5" s="4">
        <v>0.83167545574796087</v>
      </c>
      <c r="C5" s="4">
        <v>0.16832454425203908</v>
      </c>
    </row>
    <row r="6" spans="1:3" x14ac:dyDescent="0.3">
      <c r="A6" s="3">
        <v>2017</v>
      </c>
      <c r="B6" s="4">
        <v>0.81290682708989692</v>
      </c>
      <c r="C6" s="4">
        <v>0.18709317291010313</v>
      </c>
    </row>
    <row r="7" spans="1:3" x14ac:dyDescent="0.3">
      <c r="A7" s="3">
        <v>2018</v>
      </c>
      <c r="B7" s="4">
        <v>0.79808467641341541</v>
      </c>
      <c r="C7" s="4">
        <v>0.20191532358658454</v>
      </c>
    </row>
    <row r="8" spans="1:3" x14ac:dyDescent="0.3">
      <c r="A8" s="3">
        <v>2019</v>
      </c>
      <c r="B8" s="4">
        <v>0.78600449786463289</v>
      </c>
      <c r="C8" s="4">
        <v>0.21399550213536703</v>
      </c>
    </row>
    <row r="9" spans="1:3" x14ac:dyDescent="0.3">
      <c r="A9" s="3">
        <v>2020</v>
      </c>
      <c r="B9" s="4">
        <v>0.77729609210763229</v>
      </c>
      <c r="C9" s="4">
        <v>0.22270390789236763</v>
      </c>
    </row>
    <row r="10" spans="1:3" x14ac:dyDescent="0.3">
      <c r="A10" s="3">
        <v>2021</v>
      </c>
      <c r="B10" s="4">
        <v>0.72502572144357846</v>
      </c>
      <c r="C10" s="4">
        <v>0.27497427855642159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D961-00A3-4A75-B834-7C1A2CDFBB04}">
  <dimension ref="A1:C13"/>
  <sheetViews>
    <sheetView workbookViewId="0">
      <selection sqref="A1:C13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" bestFit="1" customWidth="1"/>
  </cols>
  <sheetData>
    <row r="1" spans="1:3" x14ac:dyDescent="0.3">
      <c r="A1" s="1" t="s">
        <v>9</v>
      </c>
      <c r="B1" s="1" t="s">
        <v>10</v>
      </c>
      <c r="C1" s="1" t="s">
        <v>16</v>
      </c>
    </row>
    <row r="2" spans="1:3" x14ac:dyDescent="0.3">
      <c r="A2" s="1">
        <v>2016</v>
      </c>
      <c r="B2" s="1" t="s">
        <v>11</v>
      </c>
      <c r="C2" s="1">
        <v>1169315.8600000001</v>
      </c>
    </row>
    <row r="3" spans="1:3" x14ac:dyDescent="0.3">
      <c r="A3" s="1">
        <v>2016</v>
      </c>
      <c r="B3" s="1" t="s">
        <v>12</v>
      </c>
      <c r="C3" s="1">
        <v>5777477.7000000002</v>
      </c>
    </row>
    <row r="4" spans="1:3" x14ac:dyDescent="0.3">
      <c r="A4" s="1">
        <v>2017</v>
      </c>
      <c r="B4" s="1" t="s">
        <v>12</v>
      </c>
      <c r="C4" s="1">
        <v>6032924.8300000001</v>
      </c>
    </row>
    <row r="5" spans="1:3" x14ac:dyDescent="0.3">
      <c r="A5" s="1">
        <v>2017</v>
      </c>
      <c r="B5" s="1" t="s">
        <v>11</v>
      </c>
      <c r="C5" s="1">
        <v>1388497.44</v>
      </c>
    </row>
    <row r="6" spans="1:3" x14ac:dyDescent="0.3">
      <c r="A6" s="1">
        <v>2018</v>
      </c>
      <c r="B6" s="1" t="s">
        <v>12</v>
      </c>
      <c r="C6" s="1">
        <v>10206673.529999999</v>
      </c>
    </row>
    <row r="7" spans="1:3" x14ac:dyDescent="0.3">
      <c r="A7" s="1">
        <v>2018</v>
      </c>
      <c r="B7" s="1" t="s">
        <v>11</v>
      </c>
      <c r="C7" s="1">
        <v>2582287.13</v>
      </c>
    </row>
    <row r="8" spans="1:3" x14ac:dyDescent="0.3">
      <c r="A8" s="1">
        <v>2019</v>
      </c>
      <c r="B8" s="1" t="s">
        <v>11</v>
      </c>
      <c r="C8" s="1">
        <v>3908495.7</v>
      </c>
    </row>
    <row r="9" spans="1:3" x14ac:dyDescent="0.3">
      <c r="A9" s="1">
        <v>2019</v>
      </c>
      <c r="B9" s="1" t="s">
        <v>12</v>
      </c>
      <c r="C9" s="1">
        <v>14355886.779999999</v>
      </c>
    </row>
    <row r="10" spans="1:3" x14ac:dyDescent="0.3">
      <c r="A10" s="1">
        <v>2020</v>
      </c>
      <c r="B10" s="1" t="s">
        <v>12</v>
      </c>
      <c r="C10" s="1">
        <v>7224681.2400000002</v>
      </c>
    </row>
    <row r="11" spans="1:3" x14ac:dyDescent="0.3">
      <c r="A11" s="1">
        <v>2020</v>
      </c>
      <c r="B11" s="1" t="s">
        <v>11</v>
      </c>
      <c r="C11" s="1">
        <v>2069950.9</v>
      </c>
    </row>
    <row r="12" spans="1:3" x14ac:dyDescent="0.3">
      <c r="A12" s="1">
        <v>2021</v>
      </c>
      <c r="B12" s="1" t="s">
        <v>12</v>
      </c>
      <c r="C12" s="1">
        <v>753510.88</v>
      </c>
    </row>
    <row r="13" spans="1:3" x14ac:dyDescent="0.3">
      <c r="A13" s="1">
        <v>2021</v>
      </c>
      <c r="B13" s="1" t="s">
        <v>11</v>
      </c>
      <c r="C13" s="1">
        <v>285777.59999999998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866C-3F8F-4A3F-B553-1084902546E3}">
  <dimension ref="A1:D6"/>
  <sheetViews>
    <sheetView workbookViewId="0">
      <selection activeCell="C27" sqref="C27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15.109375" customWidth="1"/>
    <col min="4" max="4" width="2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">
      <c r="A2" s="1" t="s">
        <v>4</v>
      </c>
      <c r="B2" s="1">
        <v>15453509.460000001</v>
      </c>
      <c r="C2" s="1">
        <v>7433</v>
      </c>
      <c r="D2" s="1">
        <v>617</v>
      </c>
    </row>
    <row r="3" spans="1:4" x14ac:dyDescent="0.3">
      <c r="A3" s="1" t="s">
        <v>5</v>
      </c>
      <c r="B3" s="1">
        <v>13347735.17</v>
      </c>
      <c r="C3" s="1">
        <v>6333</v>
      </c>
      <c r="D3" s="1">
        <v>612</v>
      </c>
    </row>
    <row r="4" spans="1:4" x14ac:dyDescent="0.3">
      <c r="A4" s="1" t="s">
        <v>6</v>
      </c>
      <c r="B4" s="1">
        <v>13309646.199999999</v>
      </c>
      <c r="C4" s="1">
        <v>6241</v>
      </c>
      <c r="D4" s="1">
        <v>608</v>
      </c>
    </row>
    <row r="5" spans="1:4" x14ac:dyDescent="0.3">
      <c r="A5" s="1" t="s">
        <v>7</v>
      </c>
      <c r="B5" s="1">
        <v>9135944.5399999991</v>
      </c>
      <c r="C5" s="1">
        <v>4182</v>
      </c>
      <c r="D5" s="1">
        <v>625</v>
      </c>
    </row>
    <row r="6" spans="1:4" x14ac:dyDescent="0.3">
      <c r="A6" s="1" t="s">
        <v>8</v>
      </c>
      <c r="B6" s="1">
        <v>4508644.22</v>
      </c>
      <c r="C6" s="1">
        <v>2137</v>
      </c>
      <c r="D6" s="1">
        <v>600</v>
      </c>
    </row>
  </sheetData>
  <phoneticPr fontId="1" type="noConversion"/>
  <conditionalFormatting sqref="A1:D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{2F1E9AA0-9BE2-47AC-9746-CBC73C0D6429}</x14:id>
        </ext>
      </extLst>
    </cfRule>
  </conditionalFormatting>
  <conditionalFormatting sqref="C2:C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{E669300C-03D3-447E-A79C-CCDEDB21884A}</x14:id>
        </ext>
      </extLst>
    </cfRule>
  </conditionalFormatting>
  <conditionalFormatting sqref="D2:D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{5DE4603E-2A5C-49F4-9EC3-6B6C864D8A32}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1E9AA0-9BE2-47AC-9746-CBC73C0D6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A1:D6</xm:sqref>
        </x14:conditionalFormatting>
        <x14:conditionalFormatting xmlns:xm="http://schemas.microsoft.com/office/excel/2006/main">
          <x14:cfRule type="dataBar" id="{E669300C-03D3-447E-A79C-CCDEDB2188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C2:C6</xm:sqref>
        </x14:conditionalFormatting>
        <x14:conditionalFormatting xmlns:xm="http://schemas.microsoft.com/office/excel/2006/main">
          <x14:cfRule type="dataBar" id="{5DE4603E-2A5C-49F4-9EC3-6B6C864D8A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FAB5-10E9-4708-BF00-33BFCD8EC2AD}">
  <dimension ref="A3:G10"/>
  <sheetViews>
    <sheetView workbookViewId="0">
      <selection activeCell="A4" sqref="A4:G10"/>
    </sheetView>
  </sheetViews>
  <sheetFormatPr defaultRowHeight="14.4" x14ac:dyDescent="0.3"/>
  <cols>
    <col min="1" max="1" width="15" bestFit="1" customWidth="1"/>
    <col min="2" max="2" width="17.44140625" customWidth="1"/>
    <col min="3" max="6" width="6" bestFit="1" customWidth="1"/>
    <col min="7" max="7" width="5" bestFit="1" customWidth="1"/>
    <col min="8" max="8" width="10.77734375" bestFit="1" customWidth="1"/>
    <col min="9" max="9" width="21.88671875" bestFit="1" customWidth="1"/>
    <col min="10" max="10" width="22.21875" bestFit="1" customWidth="1"/>
    <col min="11" max="11" width="21.88671875" bestFit="1" customWidth="1"/>
    <col min="12" max="12" width="22.21875" bestFit="1" customWidth="1"/>
    <col min="13" max="13" width="21.88671875" bestFit="1" customWidth="1"/>
    <col min="14" max="14" width="27" bestFit="1" customWidth="1"/>
    <col min="15" max="15" width="26.6640625" bestFit="1" customWidth="1"/>
  </cols>
  <sheetData>
    <row r="3" spans="1:7" x14ac:dyDescent="0.3">
      <c r="A3" s="2" t="s">
        <v>24</v>
      </c>
      <c r="B3" s="2" t="s">
        <v>25</v>
      </c>
    </row>
    <row r="4" spans="1:7" x14ac:dyDescent="0.3">
      <c r="A4" s="2" t="s">
        <v>9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 x14ac:dyDescent="0.3">
      <c r="A5" s="3">
        <v>2016</v>
      </c>
      <c r="B5" s="1">
        <v>100</v>
      </c>
      <c r="C5" s="1">
        <v>20.73</v>
      </c>
      <c r="D5" s="1">
        <v>32.76</v>
      </c>
      <c r="E5" s="1">
        <v>45.65</v>
      </c>
      <c r="F5" s="1">
        <v>27.76</v>
      </c>
      <c r="G5" s="1">
        <v>3.75</v>
      </c>
    </row>
    <row r="6" spans="1:7" x14ac:dyDescent="0.3">
      <c r="A6" s="3">
        <v>2017</v>
      </c>
      <c r="B6" s="1">
        <v>100</v>
      </c>
      <c r="C6" s="1">
        <v>34.6</v>
      </c>
      <c r="D6" s="1">
        <v>46.51</v>
      </c>
      <c r="E6" s="1">
        <v>27.06</v>
      </c>
      <c r="F6" s="1">
        <v>4.12</v>
      </c>
      <c r="G6" s="1"/>
    </row>
    <row r="7" spans="1:7" x14ac:dyDescent="0.3">
      <c r="A7" s="3">
        <v>2018</v>
      </c>
      <c r="B7" s="1">
        <v>100</v>
      </c>
      <c r="C7" s="1">
        <v>44.81</v>
      </c>
      <c r="D7" s="1">
        <v>27.29</v>
      </c>
      <c r="E7" s="1">
        <v>3.64</v>
      </c>
      <c r="F7" s="1"/>
      <c r="G7" s="1"/>
    </row>
    <row r="8" spans="1:7" x14ac:dyDescent="0.3">
      <c r="A8" s="3">
        <v>2019</v>
      </c>
      <c r="B8" s="1">
        <v>100</v>
      </c>
      <c r="C8" s="1">
        <v>25.42</v>
      </c>
      <c r="D8" s="1">
        <v>2.86</v>
      </c>
      <c r="E8" s="1"/>
      <c r="F8" s="1"/>
      <c r="G8" s="1"/>
    </row>
    <row r="9" spans="1:7" x14ac:dyDescent="0.3">
      <c r="A9" s="3">
        <v>2020</v>
      </c>
      <c r="B9" s="1">
        <v>100</v>
      </c>
      <c r="C9" s="1">
        <v>3.59</v>
      </c>
      <c r="D9" s="1"/>
      <c r="E9" s="1"/>
      <c r="F9" s="1"/>
      <c r="G9" s="1"/>
    </row>
    <row r="10" spans="1:7" x14ac:dyDescent="0.3">
      <c r="A10" s="3">
        <v>2021</v>
      </c>
      <c r="B10" s="1">
        <v>100</v>
      </c>
      <c r="C10" s="1"/>
      <c r="D10" s="1"/>
      <c r="E10" s="1"/>
      <c r="F10" s="1"/>
      <c r="G10" s="1"/>
    </row>
  </sheetData>
  <conditionalFormatting pivot="1" sqref="B5:G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B045-6375-4F0B-A2DF-AA1714017AC3}">
  <dimension ref="A1:E22"/>
  <sheetViews>
    <sheetView tabSelected="1" workbookViewId="0">
      <selection activeCell="O6" sqref="O6"/>
    </sheetView>
  </sheetViews>
  <sheetFormatPr defaultRowHeight="14.4" x14ac:dyDescent="0.3"/>
  <cols>
    <col min="1" max="1" width="12.6640625" bestFit="1" customWidth="1"/>
    <col min="2" max="2" width="16.21875" bestFit="1" customWidth="1"/>
    <col min="3" max="3" width="17.44140625" bestFit="1" customWidth="1"/>
    <col min="4" max="4" width="12.21875" bestFit="1" customWidth="1"/>
    <col min="5" max="5" width="17.77734375" bestFit="1" customWidth="1"/>
  </cols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s="1">
        <v>2016</v>
      </c>
      <c r="B2" s="1">
        <v>0</v>
      </c>
      <c r="C2" s="1">
        <v>2561</v>
      </c>
      <c r="D2" s="1">
        <v>2561</v>
      </c>
      <c r="E2" s="1">
        <v>100</v>
      </c>
    </row>
    <row r="3" spans="1:5" x14ac:dyDescent="0.3">
      <c r="A3" s="1">
        <v>2016</v>
      </c>
      <c r="B3" s="1">
        <v>1</v>
      </c>
      <c r="C3" s="1">
        <v>531</v>
      </c>
      <c r="D3" s="1">
        <v>2561</v>
      </c>
      <c r="E3" s="1">
        <v>20.73</v>
      </c>
    </row>
    <row r="4" spans="1:5" x14ac:dyDescent="0.3">
      <c r="A4" s="1">
        <v>2016</v>
      </c>
      <c r="B4" s="1">
        <v>2</v>
      </c>
      <c r="C4" s="1">
        <v>839</v>
      </c>
      <c r="D4" s="1">
        <v>2561</v>
      </c>
      <c r="E4" s="1">
        <v>32.76</v>
      </c>
    </row>
    <row r="5" spans="1:5" x14ac:dyDescent="0.3">
      <c r="A5" s="1">
        <v>2016</v>
      </c>
      <c r="B5" s="1">
        <v>3</v>
      </c>
      <c r="C5" s="1">
        <v>1169</v>
      </c>
      <c r="D5" s="1">
        <v>2561</v>
      </c>
      <c r="E5" s="1">
        <v>45.65</v>
      </c>
    </row>
    <row r="6" spans="1:5" x14ac:dyDescent="0.3">
      <c r="A6" s="1">
        <v>2016</v>
      </c>
      <c r="B6" s="1">
        <v>4</v>
      </c>
      <c r="C6" s="1">
        <v>711</v>
      </c>
      <c r="D6" s="1">
        <v>2561</v>
      </c>
      <c r="E6" s="1">
        <v>27.76</v>
      </c>
    </row>
    <row r="7" spans="1:5" x14ac:dyDescent="0.3">
      <c r="A7" s="1">
        <v>2016</v>
      </c>
      <c r="B7" s="1">
        <v>5</v>
      </c>
      <c r="C7" s="1">
        <v>96</v>
      </c>
      <c r="D7" s="1">
        <v>2561</v>
      </c>
      <c r="E7" s="1">
        <v>3.75</v>
      </c>
    </row>
    <row r="8" spans="1:5" x14ac:dyDescent="0.3">
      <c r="A8" s="1">
        <v>2017</v>
      </c>
      <c r="B8" s="1">
        <v>0</v>
      </c>
      <c r="C8" s="1">
        <v>2376</v>
      </c>
      <c r="D8" s="1">
        <v>2376</v>
      </c>
      <c r="E8" s="1">
        <v>100</v>
      </c>
    </row>
    <row r="9" spans="1:5" x14ac:dyDescent="0.3">
      <c r="A9" s="1">
        <v>2017</v>
      </c>
      <c r="B9" s="1">
        <v>1</v>
      </c>
      <c r="C9" s="1">
        <v>822</v>
      </c>
      <c r="D9" s="1">
        <v>2376</v>
      </c>
      <c r="E9" s="1">
        <v>34.6</v>
      </c>
    </row>
    <row r="10" spans="1:5" x14ac:dyDescent="0.3">
      <c r="A10" s="1">
        <v>2017</v>
      </c>
      <c r="B10" s="1">
        <v>2</v>
      </c>
      <c r="C10" s="1">
        <v>1105</v>
      </c>
      <c r="D10" s="1">
        <v>2376</v>
      </c>
      <c r="E10" s="1">
        <v>46.51</v>
      </c>
    </row>
    <row r="11" spans="1:5" x14ac:dyDescent="0.3">
      <c r="A11" s="1">
        <v>2017</v>
      </c>
      <c r="B11" s="1">
        <v>3</v>
      </c>
      <c r="C11" s="1">
        <v>643</v>
      </c>
      <c r="D11" s="1">
        <v>2376</v>
      </c>
      <c r="E11" s="1">
        <v>27.06</v>
      </c>
    </row>
    <row r="12" spans="1:5" x14ac:dyDescent="0.3">
      <c r="A12" s="1">
        <v>2017</v>
      </c>
      <c r="B12" s="1">
        <v>4</v>
      </c>
      <c r="C12" s="1">
        <v>98</v>
      </c>
      <c r="D12" s="1">
        <v>2376</v>
      </c>
      <c r="E12" s="1">
        <v>4.12</v>
      </c>
    </row>
    <row r="13" spans="1:5" x14ac:dyDescent="0.3">
      <c r="A13" s="1">
        <v>2018</v>
      </c>
      <c r="B13" s="1">
        <v>0</v>
      </c>
      <c r="C13" s="1">
        <v>3104</v>
      </c>
      <c r="D13" s="1">
        <v>3104</v>
      </c>
      <c r="E13" s="1">
        <v>100</v>
      </c>
    </row>
    <row r="14" spans="1:5" x14ac:dyDescent="0.3">
      <c r="A14" s="1">
        <v>2018</v>
      </c>
      <c r="B14" s="1">
        <v>1</v>
      </c>
      <c r="C14" s="1">
        <v>1391</v>
      </c>
      <c r="D14" s="1">
        <v>3104</v>
      </c>
      <c r="E14" s="1">
        <v>44.81</v>
      </c>
    </row>
    <row r="15" spans="1:5" x14ac:dyDescent="0.3">
      <c r="A15" s="1">
        <v>2018</v>
      </c>
      <c r="B15" s="1">
        <v>2</v>
      </c>
      <c r="C15" s="1">
        <v>847</v>
      </c>
      <c r="D15" s="1">
        <v>3104</v>
      </c>
      <c r="E15" s="1">
        <v>27.29</v>
      </c>
    </row>
    <row r="16" spans="1:5" x14ac:dyDescent="0.3">
      <c r="A16" s="1">
        <v>2018</v>
      </c>
      <c r="B16" s="1">
        <v>3</v>
      </c>
      <c r="C16" s="1">
        <v>113</v>
      </c>
      <c r="D16" s="1">
        <v>3104</v>
      </c>
      <c r="E16" s="1">
        <v>3.64</v>
      </c>
    </row>
    <row r="17" spans="1:5" x14ac:dyDescent="0.3">
      <c r="A17" s="1">
        <v>2019</v>
      </c>
      <c r="B17" s="1">
        <v>0</v>
      </c>
      <c r="C17" s="1">
        <v>2832</v>
      </c>
      <c r="D17" s="1">
        <v>2832</v>
      </c>
      <c r="E17" s="1">
        <v>100</v>
      </c>
    </row>
    <row r="18" spans="1:5" x14ac:dyDescent="0.3">
      <c r="A18" s="1">
        <v>2019</v>
      </c>
      <c r="B18" s="1">
        <v>1</v>
      </c>
      <c r="C18" s="1">
        <v>720</v>
      </c>
      <c r="D18" s="1">
        <v>2832</v>
      </c>
      <c r="E18" s="1">
        <v>25.42</v>
      </c>
    </row>
    <row r="19" spans="1:5" x14ac:dyDescent="0.3">
      <c r="A19" s="1">
        <v>2019</v>
      </c>
      <c r="B19" s="1">
        <v>2</v>
      </c>
      <c r="C19" s="1">
        <v>81</v>
      </c>
      <c r="D19" s="1">
        <v>2832</v>
      </c>
      <c r="E19" s="1">
        <v>2.86</v>
      </c>
    </row>
    <row r="20" spans="1:5" x14ac:dyDescent="0.3">
      <c r="A20" s="1">
        <v>2020</v>
      </c>
      <c r="B20" s="1">
        <v>0</v>
      </c>
      <c r="C20" s="1">
        <v>947</v>
      </c>
      <c r="D20" s="1">
        <v>947</v>
      </c>
      <c r="E20" s="1">
        <v>100</v>
      </c>
    </row>
    <row r="21" spans="1:5" x14ac:dyDescent="0.3">
      <c r="A21" s="1">
        <v>2020</v>
      </c>
      <c r="B21" s="1">
        <v>1</v>
      </c>
      <c r="C21" s="1">
        <v>34</v>
      </c>
      <c r="D21" s="1">
        <v>947</v>
      </c>
      <c r="E21" s="1">
        <v>3.59</v>
      </c>
    </row>
    <row r="22" spans="1:5" x14ac:dyDescent="0.3">
      <c r="A22" s="1">
        <v>2021</v>
      </c>
      <c r="B22" s="1">
        <v>0</v>
      </c>
      <c r="C22" s="1">
        <v>67</v>
      </c>
      <c r="D22" s="1">
        <v>67</v>
      </c>
      <c r="E22" s="1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C4C38F-5C94-4F3D-B79E-105199B108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AOV by channel line chart</vt:lpstr>
      <vt:lpstr>AOV by channel</vt:lpstr>
      <vt:lpstr>Revenue by channel bar chart</vt:lpstr>
      <vt:lpstr>Revenue by channel</vt:lpstr>
      <vt:lpstr>Customers purchase behavior</vt:lpstr>
      <vt:lpstr>Cohort visualization</vt:lpstr>
      <vt:lpstr>Cohort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Vũ Hạnh Dung</cp:lastModifiedBy>
  <dcterms:modified xsi:type="dcterms:W3CDTF">2026-08-17T07:36:21Z</dcterms:modified>
</cp:coreProperties>
</file>